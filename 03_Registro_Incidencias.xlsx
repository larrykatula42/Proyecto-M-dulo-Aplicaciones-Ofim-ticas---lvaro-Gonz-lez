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lantil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9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333333"/>
      <sz val="9"/>
    </font>
    <font>
      <name val="Arial"/>
      <b val="1"/>
      <color rgb="00333333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2E86C1"/>
      </patternFill>
    </fill>
    <fill>
      <patternFill patternType="solid">
        <fgColor rgb="00FDFEFE"/>
      </patternFill>
    </fill>
    <fill>
      <patternFill patternType="solid">
        <fgColor rgb="00F8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4" customWidth="1" min="5" max="5"/>
    <col width="40" customWidth="1" min="6" max="6"/>
    <col width="40" customWidth="1" min="7" max="7"/>
    <col width="16" customWidth="1" min="8" max="8"/>
    <col width="10" customWidth="1" min="9" max="9"/>
    <col width="11" customWidth="1" min="10" max="10"/>
  </cols>
  <sheetData>
    <row r="1" ht="55" customHeight="1">
      <c r="A1" s="1" t="inlineStr">
        <is>
          <t>TechOficina S.L. — Registro de Incidencias Técnicas</t>
        </is>
      </c>
    </row>
    <row r="2" ht="18" customHeight="1">
      <c r="A2" s="2" t="inlineStr">
        <is>
          <t>Documento actualizado automáticamente. Registrar todas las incidencias en el momento de su apertura.</t>
        </is>
      </c>
    </row>
    <row r="3" ht="36" customHeight="1">
      <c r="A3" s="3" t="inlineStr">
        <is>
          <t>Nº</t>
        </is>
      </c>
      <c r="B3" s="3" t="inlineStr">
        <is>
          <t>Fecha apertura</t>
        </is>
      </c>
      <c r="C3" s="3" t="inlineStr">
        <is>
          <t>Fecha cierre</t>
        </is>
      </c>
      <c r="D3" s="3" t="inlineStr">
        <is>
          <t>Equipo afectado</t>
        </is>
      </c>
      <c r="E3" s="3" t="inlineStr">
        <is>
          <t>Usuario</t>
        </is>
      </c>
      <c r="F3" s="3" t="inlineStr">
        <is>
          <t>Descripción del problema</t>
        </is>
      </c>
      <c r="G3" s="3" t="inlineStr">
        <is>
          <t>Solución aplicada</t>
        </is>
      </c>
      <c r="H3" s="3" t="inlineStr">
        <is>
          <t>Técnico responsable</t>
        </is>
      </c>
      <c r="I3" s="3" t="inlineStr">
        <is>
          <t>Prioridad</t>
        </is>
      </c>
      <c r="J3" s="3" t="inlineStr">
        <is>
          <t>Estado</t>
        </is>
      </c>
    </row>
    <row r="4" ht="52" customHeight="1">
      <c r="A4" s="4" t="n">
        <v>1</v>
      </c>
      <c r="B4" s="5" t="inlineStr">
        <is>
          <t>02/09/2025</t>
        </is>
      </c>
      <c r="C4" s="5" t="inlineStr">
        <is>
          <t>02/09/2025</t>
        </is>
      </c>
      <c r="D4" s="5" t="inlineStr">
        <is>
          <t>PC-003</t>
        </is>
      </c>
      <c r="E4" s="5" t="inlineStr">
        <is>
          <t>Luis Torres</t>
        </is>
      </c>
      <c r="F4" s="6" t="inlineStr">
        <is>
          <t>El equipo no arranca. Pantalla negra al iniciar.</t>
        </is>
      </c>
      <c r="G4" s="6" t="inlineStr">
        <is>
          <t>Se detectó disco SSD dañado. Sustitución de SSD y restauración desde copia de seguridad.</t>
        </is>
      </c>
      <c r="H4" s="5" t="inlineStr">
        <is>
          <t>Luis Torres</t>
        </is>
      </c>
      <c r="I4" s="7" t="inlineStr">
        <is>
          <t>Alta</t>
        </is>
      </c>
      <c r="J4" s="8" t="inlineStr">
        <is>
          <t>Resuelto</t>
        </is>
      </c>
    </row>
    <row r="5" ht="52" customHeight="1">
      <c r="A5" s="9" t="n">
        <v>2</v>
      </c>
      <c r="B5" s="10" t="inlineStr">
        <is>
          <t>08/09/2025</t>
        </is>
      </c>
      <c r="C5" s="10" t="inlineStr">
        <is>
          <t>10/09/2025</t>
        </is>
      </c>
      <c r="D5" s="10" t="inlineStr">
        <is>
          <t>SRV-001</t>
        </is>
      </c>
      <c r="E5" s="10" t="inlineStr">
        <is>
          <t>(Todos)</t>
        </is>
      </c>
      <c r="F5" s="11" t="inlineStr">
        <is>
          <t>El servidor NAS no aparece en la red después de un corte de luz.</t>
        </is>
      </c>
      <c r="G5" s="11" t="inlineStr">
        <is>
          <t>El SAI no actuó correctamente. Se reconfiguró red y se actualizó firmware SAI.</t>
        </is>
      </c>
      <c r="H5" s="10" t="inlineStr">
        <is>
          <t>María García</t>
        </is>
      </c>
      <c r="I5" s="7" t="inlineStr">
        <is>
          <t>Alta</t>
        </is>
      </c>
      <c r="J5" s="8" t="inlineStr">
        <is>
          <t>Resuelto</t>
        </is>
      </c>
    </row>
    <row r="6" ht="52" customHeight="1">
      <c r="A6" s="4" t="n">
        <v>3</v>
      </c>
      <c r="B6" s="5" t="inlineStr">
        <is>
          <t>15/09/2025</t>
        </is>
      </c>
      <c r="C6" s="5" t="inlineStr">
        <is>
          <t>15/09/2025</t>
        </is>
      </c>
      <c r="D6" s="5" t="inlineStr">
        <is>
          <t>IMP-001</t>
        </is>
      </c>
      <c r="E6" s="5" t="inlineStr">
        <is>
          <t>Pedro Sánchez</t>
        </is>
      </c>
      <c r="F6" s="6" t="inlineStr">
        <is>
          <t>La impresora no responde desde PC-004.</t>
        </is>
      </c>
      <c r="G6" s="6" t="inlineStr">
        <is>
          <t>Cola de impresión bloqueada. Se reinició el servicio de cola en Windows.</t>
        </is>
      </c>
      <c r="H6" s="5" t="inlineStr">
        <is>
          <t>Ana Martínez</t>
        </is>
      </c>
      <c r="I6" s="8" t="inlineStr">
        <is>
          <t>Baja</t>
        </is>
      </c>
      <c r="J6" s="8" t="inlineStr">
        <is>
          <t>Resuelto</t>
        </is>
      </c>
    </row>
    <row r="7" ht="52" customHeight="1">
      <c r="A7" s="9" t="n">
        <v>4</v>
      </c>
      <c r="B7" s="10" t="inlineStr">
        <is>
          <t>22/09/2025</t>
        </is>
      </c>
      <c r="C7" s="10" t="inlineStr">
        <is>
          <t>24/09/2025</t>
        </is>
      </c>
      <c r="D7" s="10" t="inlineStr">
        <is>
          <t>PC-001</t>
        </is>
      </c>
      <c r="E7" s="10" t="inlineStr">
        <is>
          <t>Carlos López</t>
        </is>
      </c>
      <c r="F7" s="11" t="inlineStr">
        <is>
          <t>Correo corporativo no sincroniza desde ayer.</t>
        </is>
      </c>
      <c r="G7" s="11" t="inlineStr">
        <is>
          <t>Problema de autenticación OAuth en M365. Se reconfiguró la cuenta y se actualizó token.</t>
        </is>
      </c>
      <c r="H7" s="10" t="inlineStr">
        <is>
          <t>María García</t>
        </is>
      </c>
      <c r="I7" s="12" t="inlineStr">
        <is>
          <t>Media</t>
        </is>
      </c>
      <c r="J7" s="8" t="inlineStr">
        <is>
          <t>Resuelto</t>
        </is>
      </c>
    </row>
    <row r="8" ht="52" customHeight="1">
      <c r="A8" s="4" t="n">
        <v>5</v>
      </c>
      <c r="B8" s="5" t="inlineStr">
        <is>
          <t>01/10/2025</t>
        </is>
      </c>
      <c r="C8" s="5" t="inlineStr">
        <is>
          <t>03/10/2025</t>
        </is>
      </c>
      <c r="D8" s="5" t="inlineStr">
        <is>
          <t>LT-001</t>
        </is>
      </c>
      <c r="E8" s="5" t="inlineStr">
        <is>
          <t>María García</t>
        </is>
      </c>
      <c r="F8" s="6" t="inlineStr">
        <is>
          <t>Conexión VPN no funciona fuera de la oficina.</t>
        </is>
      </c>
      <c r="G8" s="6" t="inlineStr">
        <is>
          <t>Certificado VPN caducado. Se renovó certificado y se actualizó cliente Mikrotik.</t>
        </is>
      </c>
      <c r="H8" s="5" t="inlineStr">
        <is>
          <t>María García</t>
        </is>
      </c>
      <c r="I8" s="7" t="inlineStr">
        <is>
          <t>Alta</t>
        </is>
      </c>
      <c r="J8" s="8" t="inlineStr">
        <is>
          <t>Resuelto</t>
        </is>
      </c>
    </row>
    <row r="9" ht="52" customHeight="1">
      <c r="A9" s="9" t="n">
        <v>6</v>
      </c>
      <c r="B9" s="10" t="inlineStr">
        <is>
          <t>10/10/2025</t>
        </is>
      </c>
      <c r="C9" s="10" t="inlineStr">
        <is>
          <t>—</t>
        </is>
      </c>
      <c r="D9" s="10" t="inlineStr">
        <is>
          <t>PC-002</t>
        </is>
      </c>
      <c r="E9" s="10" t="inlineStr">
        <is>
          <t>María García</t>
        </is>
      </c>
      <c r="F9" s="11" t="inlineStr">
        <is>
          <t>Wireshark no muestra tráfico en la nueva VLAN de gestión.</t>
        </is>
      </c>
      <c r="G9" s="11" t="inlineStr">
        <is>
          <t>Pendiente de revisar configuración de puerto mirror en el switch.</t>
        </is>
      </c>
      <c r="H9" s="10" t="inlineStr">
        <is>
          <t>Luis Torres</t>
        </is>
      </c>
      <c r="I9" s="12" t="inlineStr">
        <is>
          <t>Media</t>
        </is>
      </c>
      <c r="J9" s="12" t="inlineStr">
        <is>
          <t>En proceso</t>
        </is>
      </c>
    </row>
    <row r="10" ht="52" customHeight="1">
      <c r="A10" s="4" t="n">
        <v>7</v>
      </c>
      <c r="B10" s="5" t="inlineStr">
        <is>
          <t>17/10/2025</t>
        </is>
      </c>
      <c r="C10" s="5" t="inlineStr">
        <is>
          <t>17/10/2025</t>
        </is>
      </c>
      <c r="D10" s="5" t="inlineStr">
        <is>
          <t>PC-004</t>
        </is>
      </c>
      <c r="E10" s="5" t="inlineStr">
        <is>
          <t>Pedro Sánchez</t>
        </is>
      </c>
      <c r="F10" s="6" t="inlineStr">
        <is>
          <t>No puede abrir archivos .xlsx desde correo. Error al descargar.</t>
        </is>
      </c>
      <c r="G10" s="6" t="inlineStr">
        <is>
          <t>Política de seguridad M365 bloqueaba descargas. Se ajustó la directiva.</t>
        </is>
      </c>
      <c r="H10" s="5" t="inlineStr">
        <is>
          <t>Ana Martínez</t>
        </is>
      </c>
      <c r="I10" s="8" t="inlineStr">
        <is>
          <t>Baja</t>
        </is>
      </c>
      <c r="J10" s="8" t="inlineStr">
        <is>
          <t>Resuelto</t>
        </is>
      </c>
    </row>
    <row r="11" ht="52" customHeight="1">
      <c r="A11" s="9" t="n">
        <v>8</v>
      </c>
      <c r="B11" s="10" t="inlineStr">
        <is>
          <t>25/10/2025</t>
        </is>
      </c>
      <c r="C11" s="10" t="inlineStr">
        <is>
          <t>—</t>
        </is>
      </c>
      <c r="D11" s="10" t="inlineStr">
        <is>
          <t>SW-001</t>
        </is>
      </c>
      <c r="E11" s="10" t="inlineStr">
        <is>
          <t>(Red)</t>
        </is>
      </c>
      <c r="F11" s="11" t="inlineStr">
        <is>
          <t>Dos puertos del switch no funcionan correctamente (puertos 11-12).</t>
        </is>
      </c>
      <c r="G11" s="11" t="inlineStr">
        <is>
          <t>Se han desactivado los puertos. Pendiente de sustitución de switch.</t>
        </is>
      </c>
      <c r="H11" s="10" t="inlineStr">
        <is>
          <t>María García</t>
        </is>
      </c>
      <c r="I11" s="12" t="inlineStr">
        <is>
          <t>Media</t>
        </is>
      </c>
      <c r="J11" s="7" t="inlineStr">
        <is>
          <t>Pendiente</t>
        </is>
      </c>
    </row>
    <row r="12" ht="52" customHeight="1">
      <c r="A12" s="4" t="n">
        <v>9</v>
      </c>
      <c r="B12" s="5" t="inlineStr">
        <is>
          <t>05/11/2025</t>
        </is>
      </c>
      <c r="C12" s="5" t="inlineStr">
        <is>
          <t>05/11/2025</t>
        </is>
      </c>
      <c r="D12" s="5" t="inlineStr">
        <is>
          <t>PC-003</t>
        </is>
      </c>
      <c r="E12" s="5" t="inlineStr">
        <is>
          <t>Luis Torres</t>
        </is>
      </c>
      <c r="F12" s="6" t="inlineStr">
        <is>
          <t>Equipo muy lento al iniciar (&gt;5 minutos).</t>
        </is>
      </c>
      <c r="G12" s="6" t="inlineStr">
        <is>
          <t>Múltiples programas en el inicio. Se limpió lista de inicio y se optimizó disco.</t>
        </is>
      </c>
      <c r="H12" s="5" t="inlineStr">
        <is>
          <t>Ana Martínez</t>
        </is>
      </c>
      <c r="I12" s="8" t="inlineStr">
        <is>
          <t>Baja</t>
        </is>
      </c>
      <c r="J12" s="8" t="inlineStr">
        <is>
          <t>Resuelto</t>
        </is>
      </c>
    </row>
    <row r="13" ht="52" customHeight="1">
      <c r="A13" s="9" t="n">
        <v>10</v>
      </c>
      <c r="B13" s="10" t="inlineStr">
        <is>
          <t>12/11/2025</t>
        </is>
      </c>
      <c r="C13" s="10" t="inlineStr">
        <is>
          <t>—</t>
        </is>
      </c>
      <c r="D13" s="10" t="inlineStr">
        <is>
          <t>LT-002</t>
        </is>
      </c>
      <c r="E13" s="10" t="inlineStr">
        <is>
          <t>Luis Torres</t>
        </is>
      </c>
      <c r="F13" s="11" t="inlineStr">
        <is>
          <t>Batería no carga al 100%. Se detiene en el 60%.</t>
        </is>
      </c>
      <c r="G13" s="11" t="inlineStr">
        <is>
          <t>Posible deterioro de batería por calibración incorrecta. Pendiente diagnóstico.</t>
        </is>
      </c>
      <c r="H13" s="10" t="inlineStr">
        <is>
          <t>Luis Torres</t>
        </is>
      </c>
      <c r="I13" s="8" t="inlineStr">
        <is>
          <t>Baja</t>
        </is>
      </c>
      <c r="J13" s="7" t="inlineStr">
        <is>
          <t>Pendiente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0" customWidth="1" min="4" max="4"/>
  </cols>
  <sheetData>
    <row r="1" ht="40" customHeight="1">
      <c r="A1" s="13" t="inlineStr">
        <is>
          <t>Resumen de Incidencias</t>
        </is>
      </c>
    </row>
    <row r="2">
      <c r="A2" s="3" t="inlineStr">
        <is>
          <t>Estado</t>
        </is>
      </c>
      <c r="B2" s="3" t="inlineStr">
        <is>
          <t>Total</t>
        </is>
      </c>
      <c r="C2" s="3" t="inlineStr">
        <is>
          <t>Porcentaje</t>
        </is>
      </c>
      <c r="D2" s="3" t="inlineStr"/>
    </row>
    <row r="3">
      <c r="A3" s="14" t="inlineStr">
        <is>
          <t>Resueltas</t>
        </is>
      </c>
      <c r="B3" s="15">
        <f>COUNTIF(Incidencias!J4:J1000,"Resuelto")</f>
        <v/>
      </c>
      <c r="C3" s="16">
        <f>B3/SUM(B3:B5)</f>
        <v/>
      </c>
      <c r="D3" s="15" t="inlineStr"/>
    </row>
    <row r="4">
      <c r="A4" s="17" t="inlineStr">
        <is>
          <t>En proceso</t>
        </is>
      </c>
      <c r="B4" s="18">
        <f>COUNTIF(Incidencias!J4:J1000,"En proceso")</f>
        <v/>
      </c>
      <c r="C4" s="19">
        <f>B4/SUM(B3:B5)</f>
        <v/>
      </c>
      <c r="D4" s="18" t="inlineStr"/>
    </row>
    <row r="5">
      <c r="A5" s="14" t="inlineStr">
        <is>
          <t>Pendientes</t>
        </is>
      </c>
      <c r="B5" s="15">
        <f>COUNTIF(Incidencias!J4:J1000,"Pendiente")</f>
        <v/>
      </c>
      <c r="C5" s="16">
        <f>B5/SUM(B3:B5)</f>
        <v/>
      </c>
      <c r="D5" s="15" t="inlineStr"/>
    </row>
    <row r="6">
      <c r="A6" s="20" t="inlineStr">
        <is>
          <t>TOTAL</t>
        </is>
      </c>
      <c r="B6" s="20">
        <f>SUM(B3:B5)</f>
        <v/>
      </c>
      <c r="C6" s="20" t="inlineStr"/>
      <c r="D6" s="20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 ht="40" customHeight="1">
      <c r="A1" s="21" t="inlineStr">
        <is>
          <t>Plantilla: Registro de nueva incidencia</t>
        </is>
      </c>
    </row>
    <row r="2" ht="28" customHeight="1">
      <c r="A2" s="22" t="inlineStr">
        <is>
          <t>Nº de incidencia:</t>
        </is>
      </c>
      <c r="B2" s="23" t="inlineStr"/>
    </row>
    <row r="3" ht="28" customHeight="1">
      <c r="A3" s="22" t="inlineStr">
        <is>
          <t>Fecha de apertura:</t>
        </is>
      </c>
      <c r="B3" s="24" t="inlineStr"/>
    </row>
    <row r="4" ht="28" customHeight="1">
      <c r="A4" s="22" t="inlineStr">
        <is>
          <t>Equipo afectado:</t>
        </is>
      </c>
      <c r="B4" s="23" t="inlineStr"/>
    </row>
    <row r="5" ht="28" customHeight="1">
      <c r="A5" s="22" t="inlineStr">
        <is>
          <t>Usuario:</t>
        </is>
      </c>
      <c r="B5" s="24" t="inlineStr"/>
    </row>
    <row r="6" ht="28" customHeight="1">
      <c r="A6" s="22" t="inlineStr">
        <is>
          <t>Descripción del problema:</t>
        </is>
      </c>
      <c r="B6" s="23" t="inlineStr"/>
    </row>
    <row r="7" ht="28" customHeight="1">
      <c r="A7" s="22" t="inlineStr">
        <is>
          <t>Solución aplicada:</t>
        </is>
      </c>
      <c r="B7" s="24" t="inlineStr"/>
    </row>
    <row r="8" ht="28" customHeight="1">
      <c r="A8" s="22" t="inlineStr">
        <is>
          <t>Técnico responsable:</t>
        </is>
      </c>
      <c r="B8" s="23" t="inlineStr"/>
    </row>
    <row r="9" ht="28" customHeight="1">
      <c r="A9" s="22" t="inlineStr">
        <is>
          <t>Prioridad (Alta/Media/Baja):</t>
        </is>
      </c>
      <c r="B9" s="24" t="inlineStr"/>
    </row>
    <row r="10" ht="28" customHeight="1">
      <c r="A10" s="22" t="inlineStr">
        <is>
          <t>Estado (Resuelto/En proceso/Pendiente):</t>
        </is>
      </c>
      <c r="B10" s="23" t="inlineStr"/>
    </row>
    <row r="11" ht="28" customHeight="1">
      <c r="A11" s="22" t="inlineStr">
        <is>
          <t>Fecha de cierre:</t>
        </is>
      </c>
      <c r="B11" s="24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2026-05-22T13:35:42Z</dcterms:created>
  <dcterms:modified xmlns:dcterms="http://purl.org/dc/terms/" xmlns:xsi="http://www.w3.org/2001/XMLSchema-instance" xsi:type="dcterms:W3CDTF">2026-05-22T13:35:42Z</dcterms:modified>
</cp:coreProperties>
</file>